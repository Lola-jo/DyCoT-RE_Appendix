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rag\paper_zhuxinning\table\"/>
    </mc:Choice>
  </mc:AlternateContent>
  <xr:revisionPtr revIDLastSave="0" documentId="13_ncr:1_{FDA3783E-88E3-44B5-98D9-BA5A961AF027}" xr6:coauthVersionLast="47" xr6:coauthVersionMax="47" xr10:uidLastSave="{00000000-0000-0000-0000-000000000000}"/>
  <bookViews>
    <workbookView xWindow="-98" yWindow="-98" windowWidth="23236" windowHeight="13875" activeTab="1" xr2:uid="{C2B5A414-8E37-49D8-A4A5-5386268D814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5" i="2" l="1"/>
  <c r="AE35" i="2"/>
  <c r="AD36" i="2"/>
  <c r="AE36" i="2"/>
  <c r="AD37" i="2"/>
  <c r="AE37" i="2"/>
  <c r="AD38" i="2"/>
  <c r="AE38" i="2"/>
  <c r="AD39" i="2"/>
  <c r="AE39" i="2"/>
  <c r="AD40" i="2"/>
  <c r="AE40" i="2"/>
  <c r="AD41" i="2"/>
  <c r="AE41" i="2"/>
  <c r="AB4" i="2"/>
  <c r="AC4" i="2"/>
  <c r="AB7" i="2"/>
  <c r="AC7" i="2"/>
  <c r="W4" i="2"/>
  <c r="U34" i="2"/>
  <c r="U35" i="2"/>
  <c r="U36" i="2"/>
  <c r="U37" i="2"/>
  <c r="U38" i="2"/>
  <c r="U39" i="2"/>
  <c r="U40" i="2"/>
  <c r="U41" i="2"/>
  <c r="U42" i="2"/>
  <c r="U43" i="2"/>
  <c r="Z7" i="2"/>
  <c r="Y7" i="2"/>
  <c r="X7" i="2"/>
  <c r="W7" i="2"/>
  <c r="X4" i="2"/>
  <c r="Y6" i="2"/>
  <c r="Y9" i="2"/>
  <c r="AD22" i="2"/>
  <c r="AE22" i="2"/>
  <c r="AD23" i="2"/>
  <c r="AE23" i="2"/>
  <c r="AD24" i="2"/>
  <c r="AE24" i="2"/>
  <c r="AD25" i="2"/>
  <c r="AE25" i="2"/>
  <c r="AD26" i="2"/>
  <c r="AE26" i="2"/>
  <c r="AD27" i="2"/>
  <c r="AE27" i="2"/>
  <c r="AD28" i="2"/>
  <c r="AE28" i="2"/>
  <c r="AD29" i="2"/>
  <c r="AE29" i="2"/>
  <c r="AD30" i="2"/>
  <c r="AE30" i="2"/>
  <c r="AD31" i="2"/>
  <c r="AE31" i="2"/>
  <c r="AD32" i="2"/>
  <c r="AE32" i="2"/>
  <c r="AD33" i="2"/>
  <c r="AE33" i="2"/>
  <c r="AD34" i="2"/>
  <c r="AE34" i="2"/>
  <c r="AD17" i="2"/>
  <c r="AE4" i="2"/>
  <c r="AD4" i="2"/>
  <c r="AA7" i="2"/>
  <c r="AA5" i="2"/>
  <c r="AA6" i="2"/>
  <c r="AA8" i="2"/>
  <c r="AA9" i="2"/>
  <c r="AA4" i="2"/>
  <c r="Z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8" i="2"/>
  <c r="AD19" i="2"/>
  <c r="AD20" i="2"/>
  <c r="AD21" i="2"/>
  <c r="U22" i="2"/>
  <c r="U23" i="2"/>
  <c r="U24" i="2"/>
  <c r="U25" i="2"/>
  <c r="U26" i="2"/>
  <c r="U27" i="2"/>
  <c r="U28" i="2"/>
  <c r="U29" i="2"/>
  <c r="U30" i="2"/>
  <c r="U31" i="2"/>
  <c r="U32" i="2"/>
  <c r="U33" i="2"/>
  <c r="Y4" i="2"/>
  <c r="Y5" i="2"/>
  <c r="Y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AE5" i="2"/>
  <c r="AE6" i="2"/>
  <c r="AE7" i="2"/>
  <c r="AE8" i="2"/>
  <c r="U8" i="2"/>
  <c r="U7" i="2"/>
  <c r="U6" i="2"/>
  <c r="U5" i="2"/>
  <c r="U4" i="2"/>
  <c r="N7" i="3"/>
  <c r="N6" i="3"/>
  <c r="N5" i="3"/>
  <c r="N4" i="3"/>
  <c r="N3" i="3"/>
  <c r="L4" i="1"/>
  <c r="L5" i="1"/>
  <c r="L6" i="1"/>
  <c r="L7" i="1"/>
  <c r="L8" i="1"/>
  <c r="L9" i="1"/>
  <c r="L3" i="1"/>
</calcChain>
</file>

<file path=xl/sharedStrings.xml><?xml version="1.0" encoding="utf-8"?>
<sst xmlns="http://schemas.openxmlformats.org/spreadsheetml/2006/main" count="253" uniqueCount="33">
  <si>
    <t>Fitness Score</t>
  </si>
  <si>
    <t>Mean</t>
  </si>
  <si>
    <t>Std</t>
  </si>
  <si>
    <t>Max</t>
  </si>
  <si>
    <t>Min</t>
  </si>
  <si>
    <t>Smoothness</t>
  </si>
  <si>
    <t>Reward</t>
  </si>
  <si>
    <t>Episode Length</t>
  </si>
  <si>
    <r>
      <t>itness_score":</t>
    </r>
    <r>
      <rPr>
        <b/>
        <sz val="5"/>
        <color rgb="FF002B36"/>
        <rFont val="Courier New"/>
        <family val="3"/>
      </rPr>
      <t>{</t>
    </r>
  </si>
  <si>
    <r>
      <t>"values":</t>
    </r>
    <r>
      <rPr>
        <b/>
        <sz val="5"/>
        <color rgb="FF002B36"/>
        <rFont val="Courier New"/>
        <family val="3"/>
      </rPr>
      <t>[</t>
    </r>
  </si>
  <si>
    <t>]</t>
  </si>
  <si>
    <t>"mean":</t>
  </si>
  <si>
    <t>"min":</t>
  </si>
  <si>
    <t>"max":</t>
  </si>
  <si>
    <t>"std":</t>
  </si>
  <si>
    <t>}</t>
  </si>
  <si>
    <r>
      <t>"episode_length":</t>
    </r>
    <r>
      <rPr>
        <b/>
        <sz val="5"/>
        <color rgb="FF002B36"/>
        <rFont val="Courier New"/>
        <family val="3"/>
      </rPr>
      <t>{</t>
    </r>
  </si>
  <si>
    <r>
      <t>fitness_score":</t>
    </r>
    <r>
      <rPr>
        <b/>
        <sz val="5"/>
        <color rgb="FF002B36"/>
        <rFont val="Courier New"/>
        <family val="3"/>
      </rPr>
      <t>{</t>
    </r>
    <phoneticPr fontId="5" type="noConversion"/>
  </si>
  <si>
    <t>itness Score</t>
  </si>
  <si>
    <t>Episode Length</t>
    <phoneticPr fontId="5" type="noConversion"/>
  </si>
  <si>
    <t>Benchmark Metrics</t>
  </si>
  <si>
    <t>标准差</t>
    <phoneticPr fontId="5" type="noConversion"/>
  </si>
  <si>
    <t>cot均值</t>
    <phoneticPr fontId="5" type="noConversion"/>
  </si>
  <si>
    <t>benchmark均值</t>
    <phoneticPr fontId="5" type="noConversion"/>
  </si>
  <si>
    <t>提升率</t>
    <phoneticPr fontId="5" type="noConversion"/>
  </si>
  <si>
    <t>p值</t>
    <phoneticPr fontId="5" type="noConversion"/>
  </si>
  <si>
    <t>cot——cv</t>
    <phoneticPr fontId="5" type="noConversion"/>
  </si>
  <si>
    <t>benchmark-cv</t>
    <phoneticPr fontId="5" type="noConversion"/>
  </si>
  <si>
    <t>bipedal walker</t>
    <phoneticPr fontId="5" type="noConversion"/>
  </si>
  <si>
    <t>ant</t>
    <phoneticPr fontId="5" type="noConversion"/>
  </si>
  <si>
    <t>mountain car continuous</t>
    <phoneticPr fontId="5" type="noConversion"/>
  </si>
  <si>
    <t>cartpole</t>
    <phoneticPr fontId="5" type="noConversion"/>
  </si>
  <si>
    <t>Sample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</si>
</sst>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2"/>
      <color rgb="FF31333F"/>
      <name val="Source Sans Pro"/>
      <family val="2"/>
    </font>
    <font>
      <sz val="11"/>
      <color theme="1"/>
      <name val="Source Sans Pro"/>
      <family val="2"/>
    </font>
    <font>
      <sz val="11"/>
      <color rgb="FF555555"/>
      <name val="Source Sans Pro"/>
      <family val="2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5"/>
      <color rgb="FF002B36"/>
      <name val="Courier New"/>
      <family val="3"/>
    </font>
    <font>
      <b/>
      <sz val="5"/>
      <color rgb="FF002B36"/>
      <name val="Courier New"/>
      <family val="3"/>
    </font>
    <font>
      <sz val="5"/>
      <color rgb="FF6C71C4"/>
      <name val="Courier New"/>
      <family val="3"/>
    </font>
    <font>
      <sz val="5"/>
      <color rgb="FF859900"/>
      <name val="Courier New"/>
      <family val="3"/>
    </font>
    <font>
      <sz val="5"/>
      <color rgb="FF268BD2"/>
      <name val="Courier New"/>
      <family val="3"/>
    </font>
    <font>
      <sz val="5"/>
      <color rgb="FF098658"/>
      <name val="Consolas"/>
      <family val="3"/>
    </font>
    <font>
      <sz val="10"/>
      <color rgb="FF09865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1" applyAlignment="1">
      <alignment vertical="center" wrapText="1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58.199.169.119:8501/" TargetMode="External"/><Relationship Id="rId2" Type="http://schemas.openxmlformats.org/officeDocument/2006/relationships/hyperlink" Target="http://58.199.169.119:8501/" TargetMode="External"/><Relationship Id="rId1" Type="http://schemas.openxmlformats.org/officeDocument/2006/relationships/hyperlink" Target="http://58.199.169.119:8501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58.199.169.119:8501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501/" TargetMode="External"/><Relationship Id="rId13" Type="http://schemas.openxmlformats.org/officeDocument/2006/relationships/hyperlink" Target="http://localhost:8501/" TargetMode="External"/><Relationship Id="rId18" Type="http://schemas.openxmlformats.org/officeDocument/2006/relationships/hyperlink" Target="http://localhost:8501/" TargetMode="External"/><Relationship Id="rId26" Type="http://schemas.openxmlformats.org/officeDocument/2006/relationships/hyperlink" Target="http://localhost:8501/" TargetMode="External"/><Relationship Id="rId3" Type="http://schemas.openxmlformats.org/officeDocument/2006/relationships/hyperlink" Target="http://localhost:8501/" TargetMode="External"/><Relationship Id="rId21" Type="http://schemas.openxmlformats.org/officeDocument/2006/relationships/hyperlink" Target="http://localhost:8501/" TargetMode="External"/><Relationship Id="rId7" Type="http://schemas.openxmlformats.org/officeDocument/2006/relationships/hyperlink" Target="http://localhost:8501/" TargetMode="External"/><Relationship Id="rId12" Type="http://schemas.openxmlformats.org/officeDocument/2006/relationships/hyperlink" Target="http://localhost:8501/" TargetMode="External"/><Relationship Id="rId17" Type="http://schemas.openxmlformats.org/officeDocument/2006/relationships/hyperlink" Target="http://localhost:8501/" TargetMode="External"/><Relationship Id="rId25" Type="http://schemas.openxmlformats.org/officeDocument/2006/relationships/hyperlink" Target="http://localhost:8501/" TargetMode="External"/><Relationship Id="rId2" Type="http://schemas.openxmlformats.org/officeDocument/2006/relationships/hyperlink" Target="http://localhost:8501/" TargetMode="External"/><Relationship Id="rId16" Type="http://schemas.openxmlformats.org/officeDocument/2006/relationships/hyperlink" Target="http://localhost:8501/" TargetMode="External"/><Relationship Id="rId20" Type="http://schemas.openxmlformats.org/officeDocument/2006/relationships/hyperlink" Target="http://localhost:8501/" TargetMode="External"/><Relationship Id="rId1" Type="http://schemas.openxmlformats.org/officeDocument/2006/relationships/hyperlink" Target="http://localhost:8501/" TargetMode="External"/><Relationship Id="rId6" Type="http://schemas.openxmlformats.org/officeDocument/2006/relationships/hyperlink" Target="http://localhost:8501/" TargetMode="External"/><Relationship Id="rId11" Type="http://schemas.openxmlformats.org/officeDocument/2006/relationships/hyperlink" Target="http://localhost:8501/" TargetMode="External"/><Relationship Id="rId24" Type="http://schemas.openxmlformats.org/officeDocument/2006/relationships/hyperlink" Target="http://localhost:8501/" TargetMode="External"/><Relationship Id="rId5" Type="http://schemas.openxmlformats.org/officeDocument/2006/relationships/hyperlink" Target="http://localhost:8501/" TargetMode="External"/><Relationship Id="rId15" Type="http://schemas.openxmlformats.org/officeDocument/2006/relationships/hyperlink" Target="http://localhost:8501/" TargetMode="External"/><Relationship Id="rId23" Type="http://schemas.openxmlformats.org/officeDocument/2006/relationships/hyperlink" Target="http://localhost:8501/" TargetMode="External"/><Relationship Id="rId10" Type="http://schemas.openxmlformats.org/officeDocument/2006/relationships/hyperlink" Target="http://localhost:8501/" TargetMode="External"/><Relationship Id="rId19" Type="http://schemas.openxmlformats.org/officeDocument/2006/relationships/hyperlink" Target="http://localhost:8501/" TargetMode="External"/><Relationship Id="rId4" Type="http://schemas.openxmlformats.org/officeDocument/2006/relationships/hyperlink" Target="http://localhost:8501/" TargetMode="External"/><Relationship Id="rId9" Type="http://schemas.openxmlformats.org/officeDocument/2006/relationships/hyperlink" Target="http://localhost:8501/" TargetMode="External"/><Relationship Id="rId14" Type="http://schemas.openxmlformats.org/officeDocument/2006/relationships/hyperlink" Target="http://localhost:8501/" TargetMode="External"/><Relationship Id="rId22" Type="http://schemas.openxmlformats.org/officeDocument/2006/relationships/hyperlink" Target="http://localhost:8501/" TargetMode="External"/><Relationship Id="rId27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501/" TargetMode="External"/><Relationship Id="rId2" Type="http://schemas.openxmlformats.org/officeDocument/2006/relationships/hyperlink" Target="http://localhost:8501/" TargetMode="External"/><Relationship Id="rId1" Type="http://schemas.openxmlformats.org/officeDocument/2006/relationships/hyperlink" Target="http://localhost:8501/" TargetMode="External"/><Relationship Id="rId4" Type="http://schemas.openxmlformats.org/officeDocument/2006/relationships/hyperlink" Target="http://localhost:85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E65D-50B5-4F32-AF33-AA0241B2271F}">
  <dimension ref="A1:L9"/>
  <sheetViews>
    <sheetView workbookViewId="0">
      <selection activeCell="L3" sqref="L3:L9"/>
    </sheetView>
  </sheetViews>
  <sheetFormatPr defaultRowHeight="13.9" x14ac:dyDescent="0.4"/>
  <sheetData>
    <row r="1" spans="1:12" ht="31.5" x14ac:dyDescent="0.4">
      <c r="A1" s="1" t="s">
        <v>0</v>
      </c>
      <c r="F1" s="1" t="s">
        <v>0</v>
      </c>
    </row>
    <row r="2" spans="1:12" ht="28.5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</row>
    <row r="3" spans="1:12" ht="14.25" x14ac:dyDescent="0.4">
      <c r="A3" s="3">
        <v>121.4224</v>
      </c>
      <c r="B3" s="3">
        <v>190.02430000000001</v>
      </c>
      <c r="C3" s="3">
        <v>310.00349999999997</v>
      </c>
      <c r="D3" s="3">
        <v>-115.5947</v>
      </c>
      <c r="E3" s="3">
        <v>50.591200000000001</v>
      </c>
      <c r="F3" s="3">
        <v>32.686500000000002</v>
      </c>
      <c r="G3" s="3">
        <v>143.6892</v>
      </c>
      <c r="H3" s="3">
        <v>255.43209999999999</v>
      </c>
      <c r="I3" s="3">
        <v>-103.27809999999999</v>
      </c>
      <c r="J3" s="3">
        <v>85.353899999999996</v>
      </c>
      <c r="L3">
        <f>(A3-F3)/F3*100</f>
        <v>271.47568568063264</v>
      </c>
    </row>
    <row r="4" spans="1:12" x14ac:dyDescent="0.4">
      <c r="A4" s="4" t="s">
        <v>6</v>
      </c>
      <c r="F4" s="4" t="s">
        <v>6</v>
      </c>
      <c r="L4" t="e">
        <f t="shared" ref="L4:L9" si="0">(A4-F4)/F4*100</f>
        <v>#VALUE!</v>
      </c>
    </row>
    <row r="5" spans="1:12" ht="28.5" x14ac:dyDescent="0.4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1</v>
      </c>
      <c r="G5" s="2" t="s">
        <v>2</v>
      </c>
      <c r="H5" s="2" t="s">
        <v>3</v>
      </c>
      <c r="I5" s="2" t="s">
        <v>4</v>
      </c>
      <c r="J5" s="2" t="s">
        <v>5</v>
      </c>
      <c r="L5" t="e">
        <f t="shared" si="0"/>
        <v>#VALUE!</v>
      </c>
    </row>
    <row r="6" spans="1:12" ht="14.25" x14ac:dyDescent="0.4">
      <c r="A6" s="3">
        <v>427.39109999999999</v>
      </c>
      <c r="B6" s="3">
        <v>349.69349999999997</v>
      </c>
      <c r="C6" s="3">
        <v>757.46370000000002</v>
      </c>
      <c r="D6" s="3">
        <v>-6.7698999999999998</v>
      </c>
      <c r="E6" s="3">
        <v>87.671899999999994</v>
      </c>
      <c r="F6" s="3">
        <v>32.686599999999999</v>
      </c>
      <c r="G6" s="3">
        <v>143.6891</v>
      </c>
      <c r="H6" s="3">
        <v>255.43209999999999</v>
      </c>
      <c r="I6" s="3">
        <v>-103.27809999999999</v>
      </c>
      <c r="J6" s="3">
        <v>85.353899999999996</v>
      </c>
      <c r="L6">
        <f t="shared" si="0"/>
        <v>1207.5422344324586</v>
      </c>
    </row>
    <row r="7" spans="1:12" ht="27.75" x14ac:dyDescent="0.4">
      <c r="A7" s="4" t="s">
        <v>7</v>
      </c>
      <c r="F7" s="4" t="s">
        <v>7</v>
      </c>
      <c r="L7" t="e">
        <f t="shared" si="0"/>
        <v>#VALUE!</v>
      </c>
    </row>
    <row r="8" spans="1:12" ht="28.5" x14ac:dyDescent="0.4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1</v>
      </c>
      <c r="G8" s="2" t="s">
        <v>2</v>
      </c>
      <c r="H8" s="2" t="s">
        <v>3</v>
      </c>
      <c r="I8" s="2" t="s">
        <v>4</v>
      </c>
      <c r="J8" s="2" t="s">
        <v>5</v>
      </c>
      <c r="L8" t="e">
        <f t="shared" si="0"/>
        <v>#VALUE!</v>
      </c>
    </row>
    <row r="9" spans="1:12" ht="14.25" x14ac:dyDescent="0.4">
      <c r="A9" s="3">
        <v>686.66250000000002</v>
      </c>
      <c r="B9" s="3">
        <v>510.70929999999998</v>
      </c>
      <c r="C9" s="3">
        <v>1170.875</v>
      </c>
      <c r="D9" s="3">
        <v>46.5</v>
      </c>
      <c r="E9" s="3">
        <v>153.3194</v>
      </c>
      <c r="F9" s="3">
        <v>1025.2874999999999</v>
      </c>
      <c r="G9" s="3">
        <v>632.23230000000001</v>
      </c>
      <c r="H9" s="3">
        <v>1600</v>
      </c>
      <c r="I9" s="3">
        <v>56.125</v>
      </c>
      <c r="J9" s="3">
        <v>724.56939999999997</v>
      </c>
      <c r="L9">
        <f t="shared" si="0"/>
        <v>-33.027321604915691</v>
      </c>
    </row>
  </sheetData>
  <phoneticPr fontId="5" type="noConversion"/>
  <hyperlinks>
    <hyperlink ref="A4" r:id="rId1" location="reward" display="http://58.199.169.119:8501/ - reward" xr:uid="{42CABBD0-1973-41D7-9275-A8ACCF1CBCA8}"/>
    <hyperlink ref="A7" r:id="rId2" location="episode-length" display="http://58.199.169.119:8501/ - episode-length" xr:uid="{8662E9D1-B6D9-4735-A01B-3912003EE230}"/>
    <hyperlink ref="F4" r:id="rId3" location="reward" display="http://58.199.169.119:8501/ - reward" xr:uid="{0256B58F-33B6-4B98-B2E5-8AB070B6C813}"/>
    <hyperlink ref="F7" r:id="rId4" location="episode-length" display="http://58.199.169.119:8501/ - episode-length" xr:uid="{622DEB49-EC6D-4394-B109-6292B3534815}"/>
  </hyperlinks>
  <pageMargins left="0.7" right="0.7" top="0.75" bottom="0.75" header="0.3" footer="0.3"/>
  <pageSetup paperSize="9" orientation="portrait" horizontalDpi="30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8171-D8E4-4820-B41E-96B12111D4E8}">
  <dimension ref="A1:AE53"/>
  <sheetViews>
    <sheetView tabSelected="1" topLeftCell="L29" zoomScale="85" zoomScaleNormal="85" workbookViewId="0">
      <selection activeCell="AF42" sqref="AF42"/>
    </sheetView>
  </sheetViews>
  <sheetFormatPr defaultRowHeight="13.9" x14ac:dyDescent="0.4"/>
  <cols>
    <col min="20" max="20" width="13.796875" bestFit="1" customWidth="1"/>
  </cols>
  <sheetData>
    <row r="1" spans="1:31" x14ac:dyDescent="0.4">
      <c r="A1" s="5" t="s">
        <v>8</v>
      </c>
      <c r="B1" s="5" t="s">
        <v>17</v>
      </c>
    </row>
    <row r="2" spans="1:31" ht="27.75" x14ac:dyDescent="0.4">
      <c r="A2" s="5" t="s">
        <v>9</v>
      </c>
      <c r="B2" s="5" t="s">
        <v>9</v>
      </c>
      <c r="I2" s="4" t="s">
        <v>18</v>
      </c>
      <c r="O2" s="4" t="s">
        <v>0</v>
      </c>
    </row>
    <row r="3" spans="1:31" ht="28.5" x14ac:dyDescent="0.4">
      <c r="A3" s="7">
        <v>336.864324834532</v>
      </c>
      <c r="B3" s="7">
        <v>285.848314282979</v>
      </c>
      <c r="C3" s="12">
        <v>2486.6984872221901</v>
      </c>
      <c r="D3" s="12">
        <v>1732.6238788943699</v>
      </c>
      <c r="E3" s="11">
        <v>92.431954324114898</v>
      </c>
      <c r="F3" s="11">
        <v>93.663287477160097</v>
      </c>
      <c r="G3" s="11">
        <v>98</v>
      </c>
      <c r="H3" s="11">
        <v>100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O3" s="2" t="s">
        <v>1</v>
      </c>
      <c r="P3" s="2" t="s">
        <v>2</v>
      </c>
      <c r="Q3" s="2" t="s">
        <v>3</v>
      </c>
      <c r="R3" s="2" t="s">
        <v>4</v>
      </c>
      <c r="S3" s="2" t="s">
        <v>5</v>
      </c>
    </row>
    <row r="4" spans="1:31" ht="14.25" x14ac:dyDescent="0.4">
      <c r="A4" s="7">
        <v>336.055545138892</v>
      </c>
      <c r="B4" s="7">
        <v>283.204141195928</v>
      </c>
      <c r="C4" s="12">
        <v>2330.34620830416</v>
      </c>
      <c r="D4" s="12">
        <v>265.77901961654402</v>
      </c>
      <c r="E4" s="11">
        <v>93.179660312647599</v>
      </c>
      <c r="F4" s="11">
        <v>93.718900396489005</v>
      </c>
      <c r="G4" s="11">
        <v>85</v>
      </c>
      <c r="H4" s="11">
        <v>82</v>
      </c>
      <c r="I4" s="3">
        <v>336.33350000000002</v>
      </c>
      <c r="J4" s="3">
        <v>0.52710000000000001</v>
      </c>
      <c r="K4" s="3">
        <v>337.25799999999998</v>
      </c>
      <c r="L4" s="3">
        <v>335.73289999999997</v>
      </c>
      <c r="M4" s="3">
        <v>0.65259999999999996</v>
      </c>
      <c r="O4" s="3">
        <v>284.44240000000002</v>
      </c>
      <c r="P4" s="3">
        <v>2.1311</v>
      </c>
      <c r="Q4" s="3">
        <v>288.21660000000003</v>
      </c>
      <c r="R4" s="3">
        <v>281.48579999999998</v>
      </c>
      <c r="S4" s="3">
        <v>2.7810999999999999</v>
      </c>
      <c r="U4">
        <f>(I4-O4)/O4*100</f>
        <v>18.243095966002251</v>
      </c>
      <c r="W4">
        <f>_xlfn.T.TEST(A3:A12, B3:B12, 2, 3)</f>
        <v>5.8585741877635163E-15</v>
      </c>
      <c r="X4">
        <f>_xlfn.T.TEST(B3:B12, C3:C12, 2, 3)</f>
        <v>2.963532308626887E-7</v>
      </c>
      <c r="Y4">
        <f>_xlfn.T.TEST(C3:C12,D3:D12,2,3)</f>
        <v>1.5984421567231655E-3</v>
      </c>
      <c r="Z4">
        <f t="shared" ref="Z4:AA4" si="0">_xlfn.T.TEST(D3:D12,E3:E12,2,3)</f>
        <v>2.5461247178557727E-4</v>
      </c>
      <c r="AA4">
        <f>_xlfn.T.TEST(E3:E12,F3:F12,2,3)</f>
        <v>0.26478559380179195</v>
      </c>
      <c r="AB4">
        <f>_xlfn.T.TEST(F3:F12, G3:G12, 2, 3)</f>
        <v>0.80892781598101604</v>
      </c>
      <c r="AC4">
        <f>_xlfn.T.TEST(G3:G12, H3:H12, 2, 3)</f>
        <v>0.7502674123270443</v>
      </c>
      <c r="AD4">
        <f>J4/I4*100</f>
        <v>0.15671944662069048</v>
      </c>
      <c r="AE4">
        <f>P4/O4*100</f>
        <v>0.74922022877039418</v>
      </c>
    </row>
    <row r="5" spans="1:31" x14ac:dyDescent="0.4">
      <c r="A5" s="7">
        <v>337.088263857154</v>
      </c>
      <c r="B5" s="7">
        <v>286.09247410077899</v>
      </c>
      <c r="C5" s="12">
        <v>2343.8014251720101</v>
      </c>
      <c r="D5" s="12">
        <v>1760.82263463549</v>
      </c>
      <c r="E5" s="11">
        <v>93.975608040314796</v>
      </c>
      <c r="F5" s="11">
        <v>93.725115972502806</v>
      </c>
      <c r="G5" s="11">
        <v>83</v>
      </c>
      <c r="H5" s="11">
        <v>22</v>
      </c>
      <c r="U5" t="e">
        <f>(I5-O5)/O5*100</f>
        <v>#DIV/0!</v>
      </c>
      <c r="Y5">
        <f>_xlfn.T.TEST(C4:C13, D4:D13, 2, 3)</f>
        <v>3.0690298773198544E-3</v>
      </c>
      <c r="AA5">
        <f t="shared" ref="AA5:AA9" si="1">_xlfn.T.TEST(E4:E13,F4:F13,2,3)</f>
        <v>0.30523128129763533</v>
      </c>
      <c r="AD5" t="e">
        <f>J5/I5*100</f>
        <v>#DIV/0!</v>
      </c>
      <c r="AE5" t="e">
        <f>P5/O5*100</f>
        <v>#DIV/0!</v>
      </c>
    </row>
    <row r="6" spans="1:31" ht="27.75" x14ac:dyDescent="0.4">
      <c r="A6" s="7">
        <v>335.91953990012001</v>
      </c>
      <c r="B6" s="7">
        <v>287.313272427269</v>
      </c>
      <c r="C6" s="12">
        <v>2469.0551677234398</v>
      </c>
      <c r="D6" s="12">
        <v>377.10482297861</v>
      </c>
      <c r="E6" s="11">
        <v>85.468045321017598</v>
      </c>
      <c r="F6" s="11">
        <v>87.6059003863394</v>
      </c>
      <c r="G6" s="11">
        <v>49</v>
      </c>
      <c r="H6" s="11">
        <v>63</v>
      </c>
      <c r="I6" s="4" t="s">
        <v>19</v>
      </c>
      <c r="O6" s="4" t="s">
        <v>7</v>
      </c>
      <c r="U6" t="e">
        <f>(I6-O6)/O6*100</f>
        <v>#VALUE!</v>
      </c>
      <c r="Y6">
        <f>_xlfn.T.TEST(C5:C14, D5:D14, 2, 3)</f>
        <v>9.5017178747181102E-3</v>
      </c>
      <c r="AA6">
        <f t="shared" si="1"/>
        <v>0.31635965720239051</v>
      </c>
      <c r="AD6" t="e">
        <f>J6/I6*100</f>
        <v>#VALUE!</v>
      </c>
      <c r="AE6" t="e">
        <f>P6/O6*100</f>
        <v>#VALUE!</v>
      </c>
    </row>
    <row r="7" spans="1:31" ht="28.5" x14ac:dyDescent="0.4">
      <c r="A7" s="7">
        <v>336.240540917945</v>
      </c>
      <c r="B7" s="7">
        <v>281.48579940170703</v>
      </c>
      <c r="C7" s="12">
        <v>2368.8940200060601</v>
      </c>
      <c r="D7" s="12">
        <v>1501.6739175227201</v>
      </c>
      <c r="E7" s="11">
        <v>92.367705923703397</v>
      </c>
      <c r="F7" s="11">
        <v>86.748640172575804</v>
      </c>
      <c r="G7" s="11">
        <v>89</v>
      </c>
      <c r="H7" s="11">
        <v>43</v>
      </c>
      <c r="I7" s="2" t="s">
        <v>1</v>
      </c>
      <c r="J7" s="2" t="s">
        <v>2</v>
      </c>
      <c r="K7" s="2" t="s">
        <v>3</v>
      </c>
      <c r="L7" s="2" t="s">
        <v>4</v>
      </c>
      <c r="M7" s="2" t="s">
        <v>5</v>
      </c>
      <c r="O7" s="2" t="s">
        <v>1</v>
      </c>
      <c r="P7" s="2" t="s">
        <v>2</v>
      </c>
      <c r="Q7" s="2" t="s">
        <v>3</v>
      </c>
      <c r="R7" s="2" t="s">
        <v>4</v>
      </c>
      <c r="S7" s="2" t="s">
        <v>5</v>
      </c>
      <c r="U7" t="e">
        <f>(I7-O7)/O7*100</f>
        <v>#VALUE!</v>
      </c>
      <c r="W7">
        <f>_xlfn.T.TEST(A26:A35, B26:B35, 2, 3)</f>
        <v>1.2231278222529154E-12</v>
      </c>
      <c r="X7">
        <f>_xlfn.T.TEST(B26:B35, C26:C35, 2, 3)</f>
        <v>6.8933790859971021E-9</v>
      </c>
      <c r="Y7">
        <f>_xlfn.T.TEST(C26:C35, D26:D35, 2, 3)</f>
        <v>5.8200236636904427E-2</v>
      </c>
      <c r="Z7">
        <f>_xlfn.T.TEST(D26:D35, E26:E35, 2, 3)</f>
        <v>4.6267069883315214E-4</v>
      </c>
      <c r="AA7">
        <f t="shared" ref="X7:AA7" si="2">_xlfn.T.TEST(E26:E35, F26:F35, 2, 3)</f>
        <v>3.9095141539929643E-5</v>
      </c>
      <c r="AB7">
        <f>_xlfn.T.TEST(F26:F35, G26:G35, 2, 3)</f>
        <v>0.73631535020611949</v>
      </c>
      <c r="AC7">
        <f>_xlfn.T.TEST(G26:G35, H26:H35, 2, 3)</f>
        <v>0.7502674123270443</v>
      </c>
      <c r="AD7" t="e">
        <f>J7/I7*100</f>
        <v>#VALUE!</v>
      </c>
      <c r="AE7" t="e">
        <f>P7/O7*100</f>
        <v>#VALUE!</v>
      </c>
    </row>
    <row r="8" spans="1:31" ht="14.25" x14ac:dyDescent="0.4">
      <c r="A8" s="7">
        <v>336.41096616152498</v>
      </c>
      <c r="B8" s="7">
        <v>282.62927912763502</v>
      </c>
      <c r="C8" s="12">
        <v>2473.9027105271798</v>
      </c>
      <c r="D8" s="12">
        <v>980.457657347549</v>
      </c>
      <c r="E8" s="11">
        <v>92.701237029384998</v>
      </c>
      <c r="F8" s="11">
        <v>93.803570688482694</v>
      </c>
      <c r="G8" s="11">
        <v>17</v>
      </c>
      <c r="H8" s="11">
        <v>108</v>
      </c>
      <c r="I8" s="3">
        <v>707.2</v>
      </c>
      <c r="J8" s="3">
        <v>7.4539</v>
      </c>
      <c r="K8" s="3">
        <v>718</v>
      </c>
      <c r="L8" s="3">
        <v>693</v>
      </c>
      <c r="M8" s="3">
        <v>9.6667000000000005</v>
      </c>
      <c r="O8" s="3">
        <v>1243</v>
      </c>
      <c r="P8" s="3">
        <v>35.329900000000002</v>
      </c>
      <c r="Q8" s="3">
        <v>1294</v>
      </c>
      <c r="R8" s="3">
        <v>1191</v>
      </c>
      <c r="S8" s="3">
        <v>41.444400000000002</v>
      </c>
      <c r="U8">
        <f>(I8-O8)/O8*100</f>
        <v>-43.1053901850362</v>
      </c>
      <c r="Y8">
        <f>_xlfn.T.TEST(C7:C16, D7:D16, 2, 3)</f>
        <v>6.0339098144617125E-2</v>
      </c>
      <c r="AA8">
        <f t="shared" si="1"/>
        <v>0.25349847585037871</v>
      </c>
      <c r="AD8">
        <f>J8/I8*100</f>
        <v>1.0540016968325789</v>
      </c>
      <c r="AE8">
        <f>P8/O8*100</f>
        <v>2.8423089300080453</v>
      </c>
    </row>
    <row r="9" spans="1:31" x14ac:dyDescent="0.4">
      <c r="A9" s="7">
        <v>337.25800647735298</v>
      </c>
      <c r="B9" s="7">
        <v>288.21663171554201</v>
      </c>
      <c r="C9" s="12">
        <v>944.97109332680702</v>
      </c>
      <c r="D9" s="12">
        <v>1996.78396001481</v>
      </c>
      <c r="E9" s="11">
        <v>88.821017937525596</v>
      </c>
      <c r="F9" s="11">
        <v>93.678473309026103</v>
      </c>
      <c r="G9" s="11">
        <v>218</v>
      </c>
      <c r="H9" s="11">
        <v>148</v>
      </c>
      <c r="U9" t="e">
        <f t="shared" ref="U9:U43" si="3">(I9-O9)/O9*100</f>
        <v>#DIV/0!</v>
      </c>
      <c r="Y9">
        <f>_xlfn.T.TEST(C8:C17, D8:D17, 2, 3)</f>
        <v>0.13672849744387766</v>
      </c>
      <c r="AA9">
        <f t="shared" si="1"/>
        <v>2.5934625091034197E-2</v>
      </c>
      <c r="AD9" t="e">
        <f t="shared" ref="AD9:AD21" si="4">J9/I9*100</f>
        <v>#DIV/0!</v>
      </c>
      <c r="AE9" t="e">
        <f t="shared" ref="AE9:AE21" si="5">P9/O9*100</f>
        <v>#DIV/0!</v>
      </c>
    </row>
    <row r="10" spans="1:31" x14ac:dyDescent="0.4">
      <c r="A10" s="7">
        <v>336.02684514912102</v>
      </c>
      <c r="B10" s="7">
        <v>282.985536937083</v>
      </c>
      <c r="C10" s="12">
        <v>2400.33548912778</v>
      </c>
      <c r="D10" s="12">
        <v>1771.22828959766</v>
      </c>
      <c r="E10" s="11">
        <v>89.836817627117796</v>
      </c>
      <c r="F10" s="11">
        <v>93.897563692621702</v>
      </c>
      <c r="G10" s="11">
        <v>151</v>
      </c>
      <c r="H10" s="11">
        <v>32</v>
      </c>
      <c r="U10" t="e">
        <f t="shared" si="3"/>
        <v>#DIV/0!</v>
      </c>
      <c r="AD10" t="e">
        <f t="shared" si="4"/>
        <v>#DIV/0!</v>
      </c>
      <c r="AE10" t="e">
        <f t="shared" si="5"/>
        <v>#DIV/0!</v>
      </c>
    </row>
    <row r="11" spans="1:31" ht="27.75" x14ac:dyDescent="0.4">
      <c r="A11" s="7">
        <v>335.73821197178597</v>
      </c>
      <c r="B11" s="7">
        <v>283.17610522397399</v>
      </c>
      <c r="C11" s="12">
        <v>2435.2398776859</v>
      </c>
      <c r="D11" s="12">
        <v>705.68338109180297</v>
      </c>
      <c r="E11" s="11">
        <v>88.670902240857203</v>
      </c>
      <c r="F11" s="11">
        <v>93.9774777832328</v>
      </c>
      <c r="G11" s="11">
        <v>48</v>
      </c>
      <c r="H11" s="11">
        <v>102</v>
      </c>
      <c r="O11" s="4" t="s">
        <v>20</v>
      </c>
      <c r="U11" t="e">
        <f t="shared" si="3"/>
        <v>#VALUE!</v>
      </c>
      <c r="AD11" t="e">
        <f t="shared" si="4"/>
        <v>#DIV/0!</v>
      </c>
      <c r="AE11" t="e">
        <f t="shared" si="5"/>
        <v>#VALUE!</v>
      </c>
    </row>
    <row r="12" spans="1:31" ht="27.75" x14ac:dyDescent="0.4">
      <c r="A12" s="7">
        <v>335.73290082216602</v>
      </c>
      <c r="B12" s="7">
        <v>283.47283178996901</v>
      </c>
      <c r="C12" s="12">
        <v>2375.99772489815</v>
      </c>
      <c r="D12" s="12">
        <v>1901.0726825669401</v>
      </c>
      <c r="E12" s="11">
        <v>92.974651399609499</v>
      </c>
      <c r="F12" s="11">
        <v>93.793648996875604</v>
      </c>
      <c r="G12" s="11">
        <v>40</v>
      </c>
      <c r="H12" s="11">
        <v>105</v>
      </c>
      <c r="I12" s="4" t="s">
        <v>0</v>
      </c>
      <c r="O12" s="4" t="s">
        <v>0</v>
      </c>
      <c r="U12" t="e">
        <f t="shared" si="3"/>
        <v>#VALUE!</v>
      </c>
      <c r="AD12" t="e">
        <f t="shared" si="4"/>
        <v>#VALUE!</v>
      </c>
      <c r="AE12" t="e">
        <f t="shared" si="5"/>
        <v>#VALUE!</v>
      </c>
    </row>
    <row r="13" spans="1:31" ht="28.5" x14ac:dyDescent="0.4">
      <c r="A13" s="8" t="s">
        <v>10</v>
      </c>
      <c r="B13" s="8" t="s">
        <v>10</v>
      </c>
      <c r="I13" s="2" t="s">
        <v>1</v>
      </c>
      <c r="J13" s="2" t="s">
        <v>2</v>
      </c>
      <c r="K13" s="2" t="s">
        <v>3</v>
      </c>
      <c r="L13" s="2" t="s">
        <v>4</v>
      </c>
      <c r="M13" s="2" t="s">
        <v>5</v>
      </c>
      <c r="O13" s="2" t="s">
        <v>1</v>
      </c>
      <c r="P13" s="2" t="s">
        <v>2</v>
      </c>
      <c r="Q13" s="2" t="s">
        <v>3</v>
      </c>
      <c r="R13" s="2" t="s">
        <v>4</v>
      </c>
      <c r="S13" s="2" t="s">
        <v>5</v>
      </c>
      <c r="U13" t="e">
        <f t="shared" si="3"/>
        <v>#VALUE!</v>
      </c>
      <c r="AD13" t="e">
        <f t="shared" si="4"/>
        <v>#VALUE!</v>
      </c>
      <c r="AE13" t="e">
        <f t="shared" si="5"/>
        <v>#VALUE!</v>
      </c>
    </row>
    <row r="14" spans="1:31" ht="14.25" x14ac:dyDescent="0.4">
      <c r="A14" s="5" t="s">
        <v>11</v>
      </c>
      <c r="B14" s="5" t="s">
        <v>11</v>
      </c>
      <c r="I14" s="3">
        <v>2262.9241999999999</v>
      </c>
      <c r="J14" s="3">
        <v>442.46510000000001</v>
      </c>
      <c r="K14" s="3">
        <v>2486.6985</v>
      </c>
      <c r="L14" s="3">
        <v>944.97109999999998</v>
      </c>
      <c r="M14" s="3">
        <v>397.63040000000001</v>
      </c>
      <c r="O14" s="3">
        <v>1299.3230000000001</v>
      </c>
      <c r="P14" s="3">
        <v>623.3546</v>
      </c>
      <c r="Q14" s="3">
        <v>1996.7840000000001</v>
      </c>
      <c r="R14" s="3">
        <v>265.779</v>
      </c>
      <c r="S14" s="3">
        <v>1054.912</v>
      </c>
      <c r="U14">
        <f t="shared" si="3"/>
        <v>74.161790409313141</v>
      </c>
      <c r="AD14">
        <f t="shared" si="4"/>
        <v>19.55280251985462</v>
      </c>
      <c r="AE14">
        <f t="shared" si="5"/>
        <v>47.975337925981449</v>
      </c>
    </row>
    <row r="15" spans="1:31" x14ac:dyDescent="0.4">
      <c r="A15" s="7">
        <v>336.33351452305902</v>
      </c>
      <c r="B15" s="7">
        <v>284.44243862028702</v>
      </c>
      <c r="I15" s="4" t="s">
        <v>6</v>
      </c>
      <c r="O15" s="4" t="s">
        <v>6</v>
      </c>
      <c r="U15" t="e">
        <f t="shared" si="3"/>
        <v>#VALUE!</v>
      </c>
      <c r="AD15" t="e">
        <f t="shared" si="4"/>
        <v>#VALUE!</v>
      </c>
      <c r="AE15" t="e">
        <f t="shared" si="5"/>
        <v>#VALUE!</v>
      </c>
    </row>
    <row r="16" spans="1:31" ht="28.5" x14ac:dyDescent="0.4">
      <c r="A16" s="5" t="s">
        <v>12</v>
      </c>
      <c r="B16" s="5" t="s">
        <v>12</v>
      </c>
      <c r="I16" s="2" t="s">
        <v>1</v>
      </c>
      <c r="J16" s="2" t="s">
        <v>2</v>
      </c>
      <c r="K16" s="2" t="s">
        <v>3</v>
      </c>
      <c r="L16" s="2" t="s">
        <v>4</v>
      </c>
      <c r="M16" s="2" t="s">
        <v>5</v>
      </c>
      <c r="O16" s="2" t="s">
        <v>1</v>
      </c>
      <c r="P16" s="2" t="s">
        <v>2</v>
      </c>
      <c r="Q16" s="2" t="s">
        <v>3</v>
      </c>
      <c r="R16" s="2" t="s">
        <v>4</v>
      </c>
      <c r="S16" s="2" t="s">
        <v>5</v>
      </c>
      <c r="U16" t="e">
        <f t="shared" si="3"/>
        <v>#VALUE!</v>
      </c>
      <c r="AD16" t="e">
        <f t="shared" si="4"/>
        <v>#VALUE!</v>
      </c>
      <c r="AE16" t="e">
        <f t="shared" si="5"/>
        <v>#VALUE!</v>
      </c>
    </row>
    <row r="17" spans="1:31" ht="14.25" x14ac:dyDescent="0.4">
      <c r="A17" s="7">
        <v>335.73290082216602</v>
      </c>
      <c r="B17" s="7">
        <v>281.48579940170703</v>
      </c>
      <c r="I17" s="3">
        <v>2262.9241999999999</v>
      </c>
      <c r="J17" s="3">
        <v>442.46510000000001</v>
      </c>
      <c r="K17" s="3">
        <v>2486.6985</v>
      </c>
      <c r="L17" s="3">
        <v>944.97109999999998</v>
      </c>
      <c r="M17" s="3">
        <v>397.63040000000001</v>
      </c>
      <c r="O17" s="3">
        <v>1299.3230000000001</v>
      </c>
      <c r="P17" s="3">
        <v>623.3546</v>
      </c>
      <c r="Q17" s="3">
        <v>1996.7840000000001</v>
      </c>
      <c r="R17" s="3">
        <v>265.779</v>
      </c>
      <c r="S17" s="3">
        <v>1054.912</v>
      </c>
      <c r="U17">
        <f t="shared" si="3"/>
        <v>74.161790409313141</v>
      </c>
      <c r="AD17">
        <f>J17/I17*100</f>
        <v>19.55280251985462</v>
      </c>
      <c r="AE17">
        <f t="shared" si="5"/>
        <v>47.975337925981449</v>
      </c>
    </row>
    <row r="18" spans="1:31" ht="27.75" x14ac:dyDescent="0.4">
      <c r="A18" s="5" t="s">
        <v>13</v>
      </c>
      <c r="B18" s="5" t="s">
        <v>13</v>
      </c>
      <c r="I18" s="4" t="s">
        <v>7</v>
      </c>
      <c r="O18" s="4" t="s">
        <v>7</v>
      </c>
      <c r="U18" t="e">
        <f t="shared" si="3"/>
        <v>#VALUE!</v>
      </c>
      <c r="AD18" t="e">
        <f t="shared" si="4"/>
        <v>#VALUE!</v>
      </c>
      <c r="AE18" t="e">
        <f t="shared" si="5"/>
        <v>#VALUE!</v>
      </c>
    </row>
    <row r="19" spans="1:31" ht="28.5" x14ac:dyDescent="0.4">
      <c r="A19" s="7">
        <v>337.25800647735298</v>
      </c>
      <c r="B19" s="7">
        <v>288.21663171554201</v>
      </c>
      <c r="I19" s="2" t="s">
        <v>1</v>
      </c>
      <c r="J19" s="2" t="s">
        <v>2</v>
      </c>
      <c r="K19" s="2" t="s">
        <v>3</v>
      </c>
      <c r="L19" s="2" t="s">
        <v>4</v>
      </c>
      <c r="M19" s="2" t="s">
        <v>5</v>
      </c>
      <c r="O19" s="2" t="s">
        <v>1</v>
      </c>
      <c r="P19" s="2" t="s">
        <v>2</v>
      </c>
      <c r="Q19" s="2" t="s">
        <v>3</v>
      </c>
      <c r="R19" s="2" t="s">
        <v>4</v>
      </c>
      <c r="S19" s="2" t="s">
        <v>5</v>
      </c>
      <c r="U19" t="e">
        <f t="shared" si="3"/>
        <v>#VALUE!</v>
      </c>
      <c r="Y19">
        <v>1.2231278222529154E-12</v>
      </c>
      <c r="Z19">
        <v>5.8200236636904427E-2</v>
      </c>
      <c r="AA19">
        <v>3.9095141539929643E-5</v>
      </c>
      <c r="AD19" t="e">
        <f t="shared" si="4"/>
        <v>#VALUE!</v>
      </c>
      <c r="AE19" t="e">
        <f t="shared" si="5"/>
        <v>#VALUE!</v>
      </c>
    </row>
    <row r="20" spans="1:31" ht="14.25" x14ac:dyDescent="0.4">
      <c r="A20" s="5" t="s">
        <v>14</v>
      </c>
      <c r="B20" s="5" t="s">
        <v>14</v>
      </c>
      <c r="I20" s="3">
        <v>1000</v>
      </c>
      <c r="J20" s="3">
        <v>0</v>
      </c>
      <c r="K20" s="3">
        <v>1000</v>
      </c>
      <c r="L20" s="3">
        <v>1000</v>
      </c>
      <c r="M20" s="3">
        <v>0</v>
      </c>
      <c r="O20" s="3">
        <v>761.7</v>
      </c>
      <c r="P20" s="3">
        <v>329.58609999999999</v>
      </c>
      <c r="Q20" s="3">
        <v>1000</v>
      </c>
      <c r="R20" s="3">
        <v>161</v>
      </c>
      <c r="S20" s="3">
        <v>483.11110000000002</v>
      </c>
      <c r="U20">
        <f t="shared" si="3"/>
        <v>31.285282919784684</v>
      </c>
      <c r="AD20">
        <f t="shared" si="4"/>
        <v>0</v>
      </c>
      <c r="AE20">
        <f t="shared" si="5"/>
        <v>43.269804384928449</v>
      </c>
    </row>
    <row r="21" spans="1:31" x14ac:dyDescent="0.4">
      <c r="A21" s="7">
        <v>0.52711899817042296</v>
      </c>
      <c r="B21" s="7">
        <v>2.1310623465718201</v>
      </c>
      <c r="U21" t="e">
        <f t="shared" si="3"/>
        <v>#DIV/0!</v>
      </c>
      <c r="AD21" t="e">
        <f t="shared" si="4"/>
        <v>#DIV/0!</v>
      </c>
      <c r="AE21" t="e">
        <f t="shared" si="5"/>
        <v>#DIV/0!</v>
      </c>
    </row>
    <row r="22" spans="1:31" x14ac:dyDescent="0.4">
      <c r="A22" s="9" t="s">
        <v>15</v>
      </c>
      <c r="B22" s="8" t="s">
        <v>15</v>
      </c>
      <c r="U22" t="e">
        <f t="shared" si="3"/>
        <v>#DIV/0!</v>
      </c>
      <c r="AD22" t="e">
        <f t="shared" ref="AD22:AD34" si="6">J22/I22*100</f>
        <v>#DIV/0!</v>
      </c>
      <c r="AE22" t="e">
        <f t="shared" ref="AE22:AE34" si="7">P22/O22*100</f>
        <v>#DIV/0!</v>
      </c>
    </row>
    <row r="23" spans="1:31" ht="27.75" x14ac:dyDescent="0.4">
      <c r="A23" s="5" t="s">
        <v>16</v>
      </c>
      <c r="B23" s="5" t="s">
        <v>16</v>
      </c>
      <c r="O23" s="4" t="s">
        <v>20</v>
      </c>
      <c r="U23" t="e">
        <f t="shared" si="3"/>
        <v>#VALUE!</v>
      </c>
      <c r="AD23" t="e">
        <f t="shared" si="6"/>
        <v>#DIV/0!</v>
      </c>
      <c r="AE23" t="e">
        <f t="shared" si="7"/>
        <v>#VALUE!</v>
      </c>
    </row>
    <row r="24" spans="1:31" ht="27.75" x14ac:dyDescent="0.4">
      <c r="A24" s="5" t="s">
        <v>9</v>
      </c>
      <c r="B24" s="5" t="s">
        <v>9</v>
      </c>
      <c r="I24" s="4" t="s">
        <v>0</v>
      </c>
      <c r="O24" s="4" t="s">
        <v>0</v>
      </c>
      <c r="U24" t="e">
        <f t="shared" si="3"/>
        <v>#VALUE!</v>
      </c>
      <c r="AD24" t="e">
        <f t="shared" si="6"/>
        <v>#VALUE!</v>
      </c>
      <c r="AE24" t="e">
        <f t="shared" si="7"/>
        <v>#VALUE!</v>
      </c>
    </row>
    <row r="25" spans="1:31" ht="28.5" x14ac:dyDescent="0.4">
      <c r="A25" s="6">
        <v>0</v>
      </c>
      <c r="B25" s="6">
        <v>0</v>
      </c>
      <c r="I25" s="2" t="s">
        <v>1</v>
      </c>
      <c r="J25" s="2" t="s">
        <v>2</v>
      </c>
      <c r="K25" s="2" t="s">
        <v>3</v>
      </c>
      <c r="L25" s="2" t="s">
        <v>4</v>
      </c>
      <c r="M25" s="2" t="s">
        <v>5</v>
      </c>
      <c r="O25" s="2" t="s">
        <v>1</v>
      </c>
      <c r="P25" s="2" t="s">
        <v>2</v>
      </c>
      <c r="Q25" s="2" t="s">
        <v>3</v>
      </c>
      <c r="R25" s="2" t="s">
        <v>4</v>
      </c>
      <c r="S25" s="2" t="s">
        <v>5</v>
      </c>
      <c r="U25" t="e">
        <f t="shared" si="3"/>
        <v>#VALUE!</v>
      </c>
      <c r="X25">
        <v>1.2231278222529154E-12</v>
      </c>
      <c r="AD25" t="e">
        <f t="shared" si="6"/>
        <v>#VALUE!</v>
      </c>
      <c r="AE25" t="e">
        <f t="shared" si="7"/>
        <v>#VALUE!</v>
      </c>
    </row>
    <row r="26" spans="1:31" ht="14.25" x14ac:dyDescent="0.4">
      <c r="A26" s="10">
        <v>708</v>
      </c>
      <c r="B26" s="10">
        <v>1238</v>
      </c>
      <c r="C26" s="11">
        <v>1000</v>
      </c>
      <c r="D26" s="11">
        <v>1000</v>
      </c>
      <c r="E26" s="11">
        <v>169</v>
      </c>
      <c r="F26" s="11">
        <v>70</v>
      </c>
      <c r="G26" s="11">
        <v>98</v>
      </c>
      <c r="H26" s="11">
        <v>100</v>
      </c>
      <c r="I26" s="3">
        <v>92.461299999999994</v>
      </c>
      <c r="J26" s="3">
        <v>2.6505000000000001</v>
      </c>
      <c r="K26" s="3">
        <v>93.977500000000006</v>
      </c>
      <c r="L26" s="3">
        <v>86.748599999999996</v>
      </c>
      <c r="M26" s="3">
        <v>1.6335</v>
      </c>
      <c r="O26" s="3">
        <v>91.0428</v>
      </c>
      <c r="P26" s="3">
        <v>2.5773999999999999</v>
      </c>
      <c r="Q26" s="3">
        <v>93.9756</v>
      </c>
      <c r="R26" s="3">
        <v>85.468000000000004</v>
      </c>
      <c r="S26" s="3">
        <v>3.0722</v>
      </c>
      <c r="U26">
        <f t="shared" si="3"/>
        <v>1.5580584076939579</v>
      </c>
      <c r="X26">
        <v>5.8200236636904427E-2</v>
      </c>
      <c r="AD26">
        <f t="shared" si="6"/>
        <v>2.866604730844148</v>
      </c>
      <c r="AE26">
        <f t="shared" si="7"/>
        <v>2.8309762002047387</v>
      </c>
    </row>
    <row r="27" spans="1:31" x14ac:dyDescent="0.4">
      <c r="A27" s="10">
        <v>718</v>
      </c>
      <c r="B27" s="10">
        <v>1248</v>
      </c>
      <c r="C27" s="11">
        <v>1000</v>
      </c>
      <c r="D27" s="11">
        <v>161</v>
      </c>
      <c r="E27" s="11">
        <v>135</v>
      </c>
      <c r="F27" s="11">
        <v>66</v>
      </c>
      <c r="G27" s="11">
        <v>85</v>
      </c>
      <c r="H27" s="11">
        <v>82</v>
      </c>
      <c r="I27" s="4" t="s">
        <v>6</v>
      </c>
      <c r="O27" s="4" t="s">
        <v>6</v>
      </c>
      <c r="U27" t="e">
        <f t="shared" si="3"/>
        <v>#VALUE!</v>
      </c>
      <c r="X27">
        <v>3.9095141539929643E-5</v>
      </c>
      <c r="AD27" t="e">
        <f t="shared" si="6"/>
        <v>#VALUE!</v>
      </c>
      <c r="AE27" t="e">
        <f t="shared" si="7"/>
        <v>#VALUE!</v>
      </c>
    </row>
    <row r="28" spans="1:31" ht="28.5" x14ac:dyDescent="0.4">
      <c r="A28" s="10">
        <v>714</v>
      </c>
      <c r="B28" s="10">
        <v>1208</v>
      </c>
      <c r="C28" s="11">
        <v>1000</v>
      </c>
      <c r="D28" s="11">
        <v>1000</v>
      </c>
      <c r="E28" s="11">
        <v>126</v>
      </c>
      <c r="F28" s="11">
        <v>66</v>
      </c>
      <c r="G28" s="11">
        <v>83</v>
      </c>
      <c r="H28" s="11">
        <v>22</v>
      </c>
      <c r="I28" s="2" t="s">
        <v>1</v>
      </c>
      <c r="J28" s="2" t="s">
        <v>2</v>
      </c>
      <c r="K28" s="2" t="s">
        <v>3</v>
      </c>
      <c r="L28" s="2" t="s">
        <v>4</v>
      </c>
      <c r="M28" s="2" t="s">
        <v>5</v>
      </c>
      <c r="O28" s="2" t="s">
        <v>1</v>
      </c>
      <c r="P28" s="2" t="s">
        <v>2</v>
      </c>
      <c r="Q28" s="2" t="s">
        <v>3</v>
      </c>
      <c r="R28" s="2" t="s">
        <v>4</v>
      </c>
      <c r="S28" s="2" t="s">
        <v>5</v>
      </c>
      <c r="U28" t="e">
        <f t="shared" si="3"/>
        <v>#VALUE!</v>
      </c>
      <c r="AA28">
        <v>1.0540016968325789</v>
      </c>
      <c r="AB28">
        <v>2.8423089300080453</v>
      </c>
      <c r="AD28" t="e">
        <f t="shared" si="6"/>
        <v>#VALUE!</v>
      </c>
      <c r="AE28" t="e">
        <f t="shared" si="7"/>
        <v>#VALUE!</v>
      </c>
    </row>
    <row r="29" spans="1:31" ht="14.25" x14ac:dyDescent="0.4">
      <c r="A29" s="10">
        <v>703</v>
      </c>
      <c r="B29" s="10">
        <v>1212</v>
      </c>
      <c r="C29" s="11">
        <v>1000</v>
      </c>
      <c r="D29" s="11">
        <v>234</v>
      </c>
      <c r="E29" s="11">
        <v>270</v>
      </c>
      <c r="F29" s="11">
        <v>134</v>
      </c>
      <c r="G29" s="11">
        <v>49</v>
      </c>
      <c r="H29" s="11">
        <v>63</v>
      </c>
      <c r="I29" s="3">
        <v>125.6904</v>
      </c>
      <c r="J29" s="3">
        <v>30.0456</v>
      </c>
      <c r="K29" s="3">
        <v>194.47630000000001</v>
      </c>
      <c r="L29" s="3">
        <v>63.980899999999998</v>
      </c>
      <c r="M29" s="3">
        <v>26.276700000000002</v>
      </c>
      <c r="O29" s="3">
        <v>91.0428</v>
      </c>
      <c r="P29" s="3">
        <v>2.5773999999999999</v>
      </c>
      <c r="Q29" s="3">
        <v>93.9756</v>
      </c>
      <c r="R29" s="3">
        <v>85.468000000000004</v>
      </c>
      <c r="S29" s="3">
        <v>3.0722</v>
      </c>
      <c r="U29">
        <f t="shared" si="3"/>
        <v>38.056386666490923</v>
      </c>
      <c r="AA29">
        <v>0</v>
      </c>
      <c r="AB29">
        <v>43.269804384928449</v>
      </c>
      <c r="AD29">
        <f t="shared" si="6"/>
        <v>23.904450936587043</v>
      </c>
      <c r="AE29">
        <f t="shared" si="7"/>
        <v>2.8309762002047387</v>
      </c>
    </row>
    <row r="30" spans="1:31" ht="27.75" x14ac:dyDescent="0.4">
      <c r="A30" s="10">
        <v>697</v>
      </c>
      <c r="B30" s="10">
        <v>1285</v>
      </c>
      <c r="C30" s="11">
        <v>1000</v>
      </c>
      <c r="D30" s="11">
        <v>801</v>
      </c>
      <c r="E30" s="11">
        <v>168</v>
      </c>
      <c r="F30" s="11">
        <v>140</v>
      </c>
      <c r="G30" s="11">
        <v>89</v>
      </c>
      <c r="H30" s="11">
        <v>43</v>
      </c>
      <c r="I30" s="4" t="s">
        <v>7</v>
      </c>
      <c r="O30" s="4" t="s">
        <v>7</v>
      </c>
      <c r="U30" t="e">
        <f t="shared" si="3"/>
        <v>#VALUE!</v>
      </c>
      <c r="AA30">
        <v>35.057940446650129</v>
      </c>
      <c r="AB30">
        <v>24.261076836791922</v>
      </c>
      <c r="AD30" t="e">
        <f t="shared" si="6"/>
        <v>#VALUE!</v>
      </c>
      <c r="AE30" t="e">
        <f t="shared" si="7"/>
        <v>#VALUE!</v>
      </c>
    </row>
    <row r="31" spans="1:31" ht="28.5" x14ac:dyDescent="0.4">
      <c r="A31" s="10">
        <v>709</v>
      </c>
      <c r="B31" s="10">
        <v>1289</v>
      </c>
      <c r="C31" s="11">
        <v>1000</v>
      </c>
      <c r="D31" s="11">
        <v>1000</v>
      </c>
      <c r="E31" s="11">
        <v>165</v>
      </c>
      <c r="F31" s="11">
        <v>66</v>
      </c>
      <c r="G31" s="11">
        <v>17</v>
      </c>
      <c r="H31" s="11">
        <v>108</v>
      </c>
      <c r="I31" s="2" t="s">
        <v>1</v>
      </c>
      <c r="J31" s="2" t="s">
        <v>2</v>
      </c>
      <c r="K31" s="2" t="s">
        <v>3</v>
      </c>
      <c r="L31" s="2" t="s">
        <v>4</v>
      </c>
      <c r="M31" s="2" t="s">
        <v>5</v>
      </c>
      <c r="O31" s="2" t="s">
        <v>1</v>
      </c>
      <c r="P31" s="2" t="s">
        <v>2</v>
      </c>
      <c r="Q31" s="2" t="s">
        <v>3</v>
      </c>
      <c r="R31" s="2" t="s">
        <v>4</v>
      </c>
      <c r="S31" s="2" t="s">
        <v>5</v>
      </c>
      <c r="U31" t="e">
        <f t="shared" si="3"/>
        <v>#VALUE!</v>
      </c>
      <c r="AD31" t="e">
        <f t="shared" si="6"/>
        <v>#VALUE!</v>
      </c>
      <c r="AE31" t="e">
        <f t="shared" si="7"/>
        <v>#VALUE!</v>
      </c>
    </row>
    <row r="32" spans="1:31" ht="14.25" x14ac:dyDescent="0.4">
      <c r="A32" s="10">
        <v>715</v>
      </c>
      <c r="B32" s="10">
        <v>1191</v>
      </c>
      <c r="C32" s="11">
        <v>1000</v>
      </c>
      <c r="D32" s="11">
        <v>1000</v>
      </c>
      <c r="E32" s="11">
        <v>211</v>
      </c>
      <c r="F32" s="11">
        <v>66</v>
      </c>
      <c r="G32" s="11">
        <v>218</v>
      </c>
      <c r="H32" s="11">
        <v>148</v>
      </c>
      <c r="I32" s="3">
        <v>80.599999999999994</v>
      </c>
      <c r="J32" s="3">
        <v>28.256699999999999</v>
      </c>
      <c r="K32" s="3">
        <v>140</v>
      </c>
      <c r="L32" s="3">
        <v>66</v>
      </c>
      <c r="M32" s="3">
        <v>16.8889</v>
      </c>
      <c r="O32" s="3">
        <v>178.3</v>
      </c>
      <c r="P32" s="3">
        <v>43.2575</v>
      </c>
      <c r="Q32" s="3">
        <v>270</v>
      </c>
      <c r="R32" s="3">
        <v>126</v>
      </c>
      <c r="S32" s="3">
        <v>55.444400000000002</v>
      </c>
      <c r="U32">
        <f t="shared" si="3"/>
        <v>-54.795288839035337</v>
      </c>
      <c r="AD32">
        <f t="shared" si="6"/>
        <v>35.057940446650129</v>
      </c>
      <c r="AE32">
        <f t="shared" si="7"/>
        <v>24.261076836791922</v>
      </c>
    </row>
    <row r="33" spans="1:31" x14ac:dyDescent="0.4">
      <c r="A33" s="10">
        <v>706</v>
      </c>
      <c r="B33" s="10">
        <v>1212</v>
      </c>
      <c r="C33" s="11">
        <v>1000</v>
      </c>
      <c r="D33" s="11">
        <v>990</v>
      </c>
      <c r="E33" s="11">
        <v>183</v>
      </c>
      <c r="F33" s="11">
        <v>66</v>
      </c>
      <c r="G33" s="11">
        <v>151</v>
      </c>
      <c r="H33" s="11">
        <v>32</v>
      </c>
      <c r="U33" t="e">
        <f t="shared" si="3"/>
        <v>#DIV/0!</v>
      </c>
      <c r="AD33" t="e">
        <f t="shared" si="6"/>
        <v>#DIV/0!</v>
      </c>
      <c r="AE33" t="e">
        <f t="shared" si="7"/>
        <v>#DIV/0!</v>
      </c>
    </row>
    <row r="34" spans="1:31" ht="27.75" x14ac:dyDescent="0.4">
      <c r="A34" s="10">
        <v>693</v>
      </c>
      <c r="B34" s="10">
        <v>1294</v>
      </c>
      <c r="C34" s="11">
        <v>1000</v>
      </c>
      <c r="D34" s="11">
        <v>431</v>
      </c>
      <c r="E34" s="11">
        <v>224</v>
      </c>
      <c r="F34" s="11">
        <v>66</v>
      </c>
      <c r="G34" s="11">
        <v>48</v>
      </c>
      <c r="H34" s="11">
        <v>102</v>
      </c>
      <c r="I34" s="4" t="s">
        <v>32</v>
      </c>
      <c r="O34" s="4" t="s">
        <v>20</v>
      </c>
      <c r="U34" t="e">
        <f t="shared" si="3"/>
        <v>#VALUE!</v>
      </c>
      <c r="AD34" t="e">
        <f t="shared" si="6"/>
        <v>#VALUE!</v>
      </c>
      <c r="AE34" t="e">
        <f>#REF!/#REF!*100</f>
        <v>#REF!</v>
      </c>
    </row>
    <row r="35" spans="1:31" ht="27.75" x14ac:dyDescent="0.4">
      <c r="A35" s="10">
        <v>709</v>
      </c>
      <c r="B35" s="10">
        <v>1253</v>
      </c>
      <c r="C35" s="11">
        <v>1000</v>
      </c>
      <c r="D35" s="11">
        <v>1000</v>
      </c>
      <c r="E35" s="11">
        <v>132</v>
      </c>
      <c r="F35" s="11">
        <v>66</v>
      </c>
      <c r="G35" s="11">
        <v>40</v>
      </c>
      <c r="H35" s="11">
        <v>105</v>
      </c>
      <c r="I35" s="4" t="s">
        <v>0</v>
      </c>
      <c r="O35" s="4" t="s">
        <v>0</v>
      </c>
      <c r="U35" t="e">
        <f t="shared" si="3"/>
        <v>#VALUE!</v>
      </c>
      <c r="AD35" t="e">
        <f t="shared" ref="AD35:AD41" si="8">J35/I35*100</f>
        <v>#VALUE!</v>
      </c>
      <c r="AE35" t="e">
        <f t="shared" ref="AE35:AE41" si="9">P35/O35*100</f>
        <v>#VALUE!</v>
      </c>
    </row>
    <row r="36" spans="1:31" ht="28.5" x14ac:dyDescent="0.4">
      <c r="A36" s="8" t="s">
        <v>10</v>
      </c>
      <c r="B36" s="8" t="s">
        <v>10</v>
      </c>
      <c r="I36" s="2" t="s">
        <v>1</v>
      </c>
      <c r="J36" s="2" t="s">
        <v>2</v>
      </c>
      <c r="K36" s="2" t="s">
        <v>3</v>
      </c>
      <c r="L36" s="2" t="s">
        <v>4</v>
      </c>
      <c r="M36" s="2" t="s">
        <v>5</v>
      </c>
      <c r="O36" s="2" t="s">
        <v>1</v>
      </c>
      <c r="P36" s="2" t="s">
        <v>2</v>
      </c>
      <c r="Q36" s="2" t="s">
        <v>3</v>
      </c>
      <c r="R36" s="2" t="s">
        <v>4</v>
      </c>
      <c r="S36" s="2" t="s">
        <v>5</v>
      </c>
      <c r="U36" t="e">
        <f t="shared" si="3"/>
        <v>#VALUE!</v>
      </c>
      <c r="AD36" t="e">
        <f t="shared" si="8"/>
        <v>#VALUE!</v>
      </c>
      <c r="AE36" t="e">
        <f t="shared" si="9"/>
        <v>#VALUE!</v>
      </c>
    </row>
    <row r="37" spans="1:31" ht="14.25" x14ac:dyDescent="0.4">
      <c r="A37" s="5" t="s">
        <v>11</v>
      </c>
      <c r="B37" s="5" t="s">
        <v>11</v>
      </c>
      <c r="I37" s="3">
        <v>87.8</v>
      </c>
      <c r="J37" s="3">
        <v>56.097799999999999</v>
      </c>
      <c r="K37" s="3">
        <v>218</v>
      </c>
      <c r="L37" s="3">
        <v>17</v>
      </c>
      <c r="M37" s="3">
        <v>60</v>
      </c>
      <c r="O37" s="3">
        <v>80.5</v>
      </c>
      <c r="P37" s="3">
        <v>37.741900000000001</v>
      </c>
      <c r="Q37" s="3">
        <v>148</v>
      </c>
      <c r="R37" s="3">
        <v>22</v>
      </c>
      <c r="S37" s="3">
        <v>48.1111</v>
      </c>
      <c r="U37">
        <f t="shared" si="3"/>
        <v>9.068322981366455</v>
      </c>
      <c r="AD37">
        <f t="shared" si="8"/>
        <v>63.892710706150346</v>
      </c>
      <c r="AE37">
        <f t="shared" si="9"/>
        <v>46.884347826086959</v>
      </c>
    </row>
    <row r="38" spans="1:31" x14ac:dyDescent="0.4">
      <c r="A38" s="7">
        <v>707.2</v>
      </c>
      <c r="B38" s="10">
        <v>1243</v>
      </c>
      <c r="I38" s="4" t="s">
        <v>6</v>
      </c>
      <c r="O38" s="4" t="s">
        <v>6</v>
      </c>
      <c r="U38" t="e">
        <f t="shared" si="3"/>
        <v>#VALUE!</v>
      </c>
      <c r="AD38" t="e">
        <f t="shared" si="8"/>
        <v>#VALUE!</v>
      </c>
      <c r="AE38" t="e">
        <f>#REF!/#REF!*100</f>
        <v>#REF!</v>
      </c>
    </row>
    <row r="39" spans="1:31" ht="28.5" x14ac:dyDescent="0.4">
      <c r="A39" s="5" t="s">
        <v>12</v>
      </c>
      <c r="B39" s="5" t="s">
        <v>12</v>
      </c>
      <c r="I39" s="2" t="s">
        <v>1</v>
      </c>
      <c r="J39" s="2" t="s">
        <v>2</v>
      </c>
      <c r="K39" s="2" t="s">
        <v>3</v>
      </c>
      <c r="L39" s="2" t="s">
        <v>4</v>
      </c>
      <c r="M39" s="2" t="s">
        <v>5</v>
      </c>
      <c r="O39" s="2" t="s">
        <v>1</v>
      </c>
      <c r="P39" s="2" t="s">
        <v>2</v>
      </c>
      <c r="Q39" s="2" t="s">
        <v>3</v>
      </c>
      <c r="R39" s="2" t="s">
        <v>4</v>
      </c>
      <c r="S39" s="2" t="s">
        <v>5</v>
      </c>
      <c r="U39" t="e">
        <f t="shared" si="3"/>
        <v>#VALUE!</v>
      </c>
      <c r="AD39" t="e">
        <f t="shared" si="8"/>
        <v>#VALUE!</v>
      </c>
      <c r="AE39" t="e">
        <f t="shared" ref="AE39:AE41" si="10">P39/O39*100</f>
        <v>#VALUE!</v>
      </c>
    </row>
    <row r="40" spans="1:31" ht="14.25" x14ac:dyDescent="0.4">
      <c r="A40" s="10">
        <v>693</v>
      </c>
      <c r="B40" s="10">
        <v>1191</v>
      </c>
      <c r="I40" s="3">
        <v>87.8</v>
      </c>
      <c r="J40" s="3">
        <v>56.097799999999999</v>
      </c>
      <c r="K40" s="3">
        <v>218</v>
      </c>
      <c r="L40" s="3">
        <v>17</v>
      </c>
      <c r="M40" s="3">
        <v>60</v>
      </c>
      <c r="O40" s="3">
        <v>80.5</v>
      </c>
      <c r="P40" s="3">
        <v>37.741900000000001</v>
      </c>
      <c r="Q40" s="3">
        <v>148</v>
      </c>
      <c r="R40" s="3">
        <v>22</v>
      </c>
      <c r="S40" s="3">
        <v>48.1111</v>
      </c>
      <c r="U40">
        <f t="shared" si="3"/>
        <v>9.068322981366455</v>
      </c>
      <c r="AD40">
        <f t="shared" si="8"/>
        <v>63.892710706150346</v>
      </c>
      <c r="AE40">
        <f t="shared" si="10"/>
        <v>46.884347826086959</v>
      </c>
    </row>
    <row r="41" spans="1:31" ht="27.75" x14ac:dyDescent="0.4">
      <c r="A41" s="5" t="s">
        <v>13</v>
      </c>
      <c r="B41" s="5" t="s">
        <v>13</v>
      </c>
      <c r="I41" s="4" t="s">
        <v>7</v>
      </c>
      <c r="O41" s="4" t="s">
        <v>7</v>
      </c>
      <c r="U41" t="e">
        <f t="shared" si="3"/>
        <v>#VALUE!</v>
      </c>
      <c r="AD41" t="e">
        <f t="shared" si="8"/>
        <v>#VALUE!</v>
      </c>
      <c r="AE41" t="e">
        <f t="shared" si="10"/>
        <v>#VALUE!</v>
      </c>
    </row>
    <row r="42" spans="1:31" ht="28.5" x14ac:dyDescent="0.4">
      <c r="A42" s="10">
        <v>718</v>
      </c>
      <c r="B42" s="10">
        <v>1294</v>
      </c>
      <c r="I42" s="2" t="s">
        <v>1</v>
      </c>
      <c r="J42" s="2" t="s">
        <v>2</v>
      </c>
      <c r="K42" s="2" t="s">
        <v>3</v>
      </c>
      <c r="L42" s="2" t="s">
        <v>4</v>
      </c>
      <c r="M42" s="2" t="s">
        <v>5</v>
      </c>
      <c r="O42" s="2" t="s">
        <v>1</v>
      </c>
      <c r="P42" s="2" t="s">
        <v>2</v>
      </c>
      <c r="Q42" s="2" t="s">
        <v>3</v>
      </c>
      <c r="R42" s="2" t="s">
        <v>4</v>
      </c>
      <c r="S42" s="2" t="s">
        <v>5</v>
      </c>
      <c r="U42" t="e">
        <f t="shared" si="3"/>
        <v>#VALUE!</v>
      </c>
      <c r="W42" t="s">
        <v>22</v>
      </c>
      <c r="X42" t="s">
        <v>21</v>
      </c>
      <c r="Y42" t="s">
        <v>23</v>
      </c>
      <c r="Z42" t="s">
        <v>21</v>
      </c>
      <c r="AA42" t="s">
        <v>24</v>
      </c>
      <c r="AB42" t="s">
        <v>25</v>
      </c>
      <c r="AC42" t="s">
        <v>26</v>
      </c>
      <c r="AD42" t="s">
        <v>27</v>
      </c>
    </row>
    <row r="43" spans="1:31" ht="14.25" x14ac:dyDescent="0.4">
      <c r="A43" s="5" t="s">
        <v>14</v>
      </c>
      <c r="B43" s="5" t="s">
        <v>14</v>
      </c>
      <c r="I43" s="3">
        <v>87.8</v>
      </c>
      <c r="J43" s="3">
        <v>56.097799999999999</v>
      </c>
      <c r="K43" s="3">
        <v>218</v>
      </c>
      <c r="L43" s="3">
        <v>17</v>
      </c>
      <c r="M43" s="3">
        <v>60</v>
      </c>
      <c r="O43" s="3">
        <v>80.5</v>
      </c>
      <c r="P43" s="3">
        <v>37.741900000000001</v>
      </c>
      <c r="Q43" s="3">
        <v>148</v>
      </c>
      <c r="R43" s="3">
        <v>22</v>
      </c>
      <c r="S43" s="3">
        <v>48.1111</v>
      </c>
      <c r="U43">
        <f t="shared" si="3"/>
        <v>9.068322981366455</v>
      </c>
      <c r="V43" t="s">
        <v>28</v>
      </c>
      <c r="W43" s="3">
        <v>336.33350000000002</v>
      </c>
      <c r="X43" s="3">
        <v>0.52710000000000001</v>
      </c>
      <c r="Y43" s="3">
        <v>284.44240000000002</v>
      </c>
      <c r="Z43" s="3">
        <v>2.1311</v>
      </c>
      <c r="AA43">
        <v>18.243095966002251</v>
      </c>
      <c r="AB43">
        <v>5.8585741877635163E-15</v>
      </c>
      <c r="AC43">
        <v>0.15671944662069048</v>
      </c>
      <c r="AD43">
        <v>0.74922022877039418</v>
      </c>
    </row>
    <row r="44" spans="1:31" ht="14.25" x14ac:dyDescent="0.4">
      <c r="A44" s="7">
        <v>7.4538580614336798</v>
      </c>
      <c r="B44" s="7">
        <v>35.329874044496599</v>
      </c>
      <c r="V44" t="s">
        <v>29</v>
      </c>
      <c r="W44" s="3">
        <v>2262.9241999999999</v>
      </c>
      <c r="X44" s="3">
        <v>442.46510000000001</v>
      </c>
      <c r="Y44" s="3">
        <v>1299.3230000000001</v>
      </c>
      <c r="Z44" s="3">
        <v>623.3546</v>
      </c>
      <c r="AA44">
        <v>74.161790409313141</v>
      </c>
      <c r="AB44">
        <v>1.5984421567231655E-3</v>
      </c>
      <c r="AC44">
        <v>1.0540016968325789</v>
      </c>
      <c r="AD44">
        <v>2.8423089300080453</v>
      </c>
    </row>
    <row r="45" spans="1:31" ht="14.25" x14ac:dyDescent="0.4">
      <c r="A45" s="9" t="s">
        <v>15</v>
      </c>
      <c r="B45" s="8" t="s">
        <v>15</v>
      </c>
      <c r="V45" t="s">
        <v>30</v>
      </c>
      <c r="W45" s="3">
        <v>92.461299999999994</v>
      </c>
      <c r="X45" s="3">
        <v>2.6505000000000001</v>
      </c>
      <c r="Y45" s="3">
        <v>91.0428</v>
      </c>
      <c r="Z45" s="3">
        <v>2.5773999999999999</v>
      </c>
      <c r="AA45">
        <v>1.5580584076939579</v>
      </c>
      <c r="AB45">
        <v>0.26478559380179195</v>
      </c>
      <c r="AC45">
        <v>2.866604730844148</v>
      </c>
      <c r="AD45">
        <v>2.8309762002047387</v>
      </c>
    </row>
    <row r="46" spans="1:31" ht="14.25" x14ac:dyDescent="0.4">
      <c r="B46" s="8" t="s">
        <v>15</v>
      </c>
      <c r="V46" t="s">
        <v>31</v>
      </c>
      <c r="W46" s="3">
        <v>87.8</v>
      </c>
      <c r="X46" s="3">
        <v>56.097799999999999</v>
      </c>
      <c r="Y46" s="3">
        <v>80.5</v>
      </c>
      <c r="Z46" s="3">
        <v>37.741900000000001</v>
      </c>
      <c r="AA46">
        <v>9.068322981366455</v>
      </c>
      <c r="AB46">
        <v>0.7502674123270443</v>
      </c>
      <c r="AC46">
        <v>63.892710706150346</v>
      </c>
      <c r="AD46">
        <v>46.884347826086959</v>
      </c>
    </row>
    <row r="49" spans="22:30" x14ac:dyDescent="0.4">
      <c r="W49" t="s">
        <v>22</v>
      </c>
      <c r="X49" t="s">
        <v>21</v>
      </c>
      <c r="Y49" t="s">
        <v>23</v>
      </c>
      <c r="Z49" t="s">
        <v>21</v>
      </c>
      <c r="AA49" t="s">
        <v>24</v>
      </c>
      <c r="AB49" t="s">
        <v>25</v>
      </c>
      <c r="AC49" t="s">
        <v>26</v>
      </c>
      <c r="AD49" t="s">
        <v>27</v>
      </c>
    </row>
    <row r="50" spans="22:30" ht="14.25" x14ac:dyDescent="0.4">
      <c r="V50" t="s">
        <v>28</v>
      </c>
      <c r="W50" s="3">
        <v>707.2</v>
      </c>
      <c r="X50" s="3">
        <v>7.4539</v>
      </c>
      <c r="Y50" s="3">
        <v>1243</v>
      </c>
      <c r="Z50" s="3">
        <v>35.329900000000002</v>
      </c>
      <c r="AA50">
        <v>-43.1053901850362</v>
      </c>
      <c r="AB50">
        <v>1.2231278222529154E-12</v>
      </c>
      <c r="AC50">
        <v>1.0540016968325789</v>
      </c>
      <c r="AD50">
        <v>2.8423089300080453</v>
      </c>
    </row>
    <row r="51" spans="22:30" ht="14.25" x14ac:dyDescent="0.4">
      <c r="V51" t="s">
        <v>29</v>
      </c>
      <c r="W51" s="3">
        <v>1000</v>
      </c>
      <c r="X51" s="3">
        <v>0</v>
      </c>
      <c r="Y51" s="3">
        <v>761.7</v>
      </c>
      <c r="Z51" s="3">
        <v>329.58609999999999</v>
      </c>
      <c r="AA51">
        <v>31.285282919784684</v>
      </c>
      <c r="AB51">
        <v>5.8200236636904427E-2</v>
      </c>
      <c r="AC51">
        <v>0</v>
      </c>
      <c r="AD51">
        <v>43.269804384928449</v>
      </c>
    </row>
    <row r="52" spans="22:30" ht="14.25" x14ac:dyDescent="0.4">
      <c r="V52" t="s">
        <v>30</v>
      </c>
      <c r="W52" s="3">
        <v>80.599999999999994</v>
      </c>
      <c r="X52" s="3">
        <v>28.256699999999999</v>
      </c>
      <c r="Y52" s="3">
        <v>178.3</v>
      </c>
      <c r="Z52" s="3">
        <v>43.2575</v>
      </c>
      <c r="AA52">
        <v>-54.795288839035337</v>
      </c>
      <c r="AB52">
        <v>3.9095141539929643E-5</v>
      </c>
      <c r="AC52">
        <v>35.057940446650129</v>
      </c>
      <c r="AD52">
        <v>24.261076836791922</v>
      </c>
    </row>
    <row r="53" spans="22:30" ht="14.25" x14ac:dyDescent="0.4">
      <c r="V53" t="s">
        <v>31</v>
      </c>
      <c r="W53" s="3">
        <v>87.8</v>
      </c>
      <c r="X53" s="3">
        <v>56.097799999999999</v>
      </c>
      <c r="Y53" s="3">
        <v>80.5</v>
      </c>
      <c r="Z53" s="3">
        <v>37.741900000000001</v>
      </c>
      <c r="AA53">
        <v>9.068322981366455</v>
      </c>
      <c r="AB53">
        <v>0.7502674123270443</v>
      </c>
      <c r="AC53">
        <v>63.892710706150346</v>
      </c>
      <c r="AD53">
        <v>46.884347826086959</v>
      </c>
    </row>
  </sheetData>
  <phoneticPr fontId="5" type="noConversion"/>
  <hyperlinks>
    <hyperlink ref="I2" r:id="rId1" location="fitness-score" display="http://localhost:8501/ - fitness-score" xr:uid="{8E8A399D-896C-4974-A881-A4E17E87B4C8}"/>
    <hyperlink ref="O2" r:id="rId2" location="fitness-score" display="http://localhost:8501/ - fitness-score" xr:uid="{FF3030AD-F3E8-4D6E-9107-1CD373178573}"/>
    <hyperlink ref="I6" r:id="rId3" location="episode-length" display="http://localhost:8501/ - episode-length" xr:uid="{433D3770-32A8-49BA-97D2-BE9F4658A9AF}"/>
    <hyperlink ref="O6" r:id="rId4" location="episode-length" display="http://localhost:8501/ - episode-length" xr:uid="{F5043220-3FA2-49CF-B2DB-6DF0879B8C0C}"/>
    <hyperlink ref="I12" r:id="rId5" location="fitness-score" display="http://localhost:8501/ - fitness-score" xr:uid="{2C2DDD93-8C54-4D7D-AE1F-150A3B439DC4}"/>
    <hyperlink ref="I15" r:id="rId6" location="reward" display="http://localhost:8501/ - reward" xr:uid="{48C07B93-7E1D-4CAF-8D8D-AD487D4FCAC7}"/>
    <hyperlink ref="I18" r:id="rId7" location="episode-length" display="http://localhost:8501/ - episode-length" xr:uid="{EE0545C9-4E07-4608-8814-5AF8A7854CBE}"/>
    <hyperlink ref="O11" r:id="rId8" location="benchmark-metrics" display="http://localhost:8501/ - benchmark-metrics" xr:uid="{5E7A0D6C-3A16-45F2-A741-8ACA99FB9D6A}"/>
    <hyperlink ref="O12" r:id="rId9" location="fitness-score" display="http://localhost:8501/ - fitness-score" xr:uid="{19F54051-A7FD-4094-9F3D-70377E28A194}"/>
    <hyperlink ref="O15" r:id="rId10" location="reward" display="http://localhost:8501/ - reward" xr:uid="{19959F75-BE33-4B17-8C01-62CC1873CA51}"/>
    <hyperlink ref="O18" r:id="rId11" location="episode-length" display="http://localhost:8501/ - episode-length" xr:uid="{DA60CFA2-F54D-471B-974A-D5F527C99E3E}"/>
    <hyperlink ref="I24" r:id="rId12" location="fitness-score" display="http://localhost:8501/ - fitness-score" xr:uid="{43FAD419-DCDB-4126-9015-71D14379F670}"/>
    <hyperlink ref="I27" r:id="rId13" location="reward" display="http://localhost:8501/ - reward" xr:uid="{F39109EB-5751-482B-AC9B-F6E41D1D445D}"/>
    <hyperlink ref="I30" r:id="rId14" location="episode-length" display="http://localhost:8501/ - episode-length" xr:uid="{C08B6AB3-A908-4EAD-8D4C-A6FF98747B8D}"/>
    <hyperlink ref="O23" r:id="rId15" location="benchmark-metrics" display="http://localhost:8501/ - benchmark-metrics" xr:uid="{B4975064-6040-44AB-A074-B41688F15638}"/>
    <hyperlink ref="O24" r:id="rId16" location="fitness-score" display="http://localhost:8501/ - fitness-score" xr:uid="{965A8DC7-AD5A-4B1C-BABF-3375279ECC19}"/>
    <hyperlink ref="O27" r:id="rId17" location="reward" display="http://localhost:8501/ - reward" xr:uid="{61687CCC-9FA9-4B2F-A156-91F8AFA9C58D}"/>
    <hyperlink ref="O30" r:id="rId18" location="episode-length" display="http://localhost:8501/ - episode-length" xr:uid="{53D3AEF9-B6F1-4444-BE85-87BF5B1502C4}"/>
    <hyperlink ref="I34" r:id="rId19" location="sample-metrics" display="http://localhost:8501/ - sample-metrics" xr:uid="{8FB72167-043D-42AD-A5DD-CD16A37403D6}"/>
    <hyperlink ref="I35" r:id="rId20" location="fitness-score" display="http://localhost:8501/ - fitness-score" xr:uid="{22D5F509-1485-41CA-8A61-CACB2AC95658}"/>
    <hyperlink ref="I38" r:id="rId21" location="reward" display="http://localhost:8501/ - reward" xr:uid="{2E566CD8-3397-4DE2-ABE2-F78B42269208}"/>
    <hyperlink ref="I41" r:id="rId22" location="episode-length" display="http://localhost:8501/ - episode-length" xr:uid="{535B950F-E782-4B9A-9C96-511153886813}"/>
    <hyperlink ref="O34" r:id="rId23" location="benchmark-metrics" display="http://localhost:8501/ - benchmark-metrics" xr:uid="{649B0F41-656B-44C1-84B8-B986F0DA806C}"/>
    <hyperlink ref="O35" r:id="rId24" location="fitness-score" display="http://localhost:8501/ - fitness-score" xr:uid="{DAA1AE10-478C-473B-BDA0-6E6BDC172459}"/>
    <hyperlink ref="O38" r:id="rId25" location="reward" display="http://localhost:8501/ - reward" xr:uid="{7E472DFC-6D22-4B55-BB28-E2A7BF671181}"/>
    <hyperlink ref="O41" r:id="rId26" location="episode-length" display="http://localhost:8501/ - episode-length" xr:uid="{B2F8670C-8EEA-43B2-A8B3-09319A2F2961}"/>
  </hyperlinks>
  <pageMargins left="0.7" right="0.7" top="0.75" bottom="0.75" header="0.3" footer="0.3"/>
  <pageSetup paperSize="9" orientation="portrait" horizontalDpi="300" verticalDpi="0"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4AFE-50BA-447A-8FDA-8DE9839ED742}">
  <dimension ref="B1:N7"/>
  <sheetViews>
    <sheetView workbookViewId="0">
      <selection sqref="A1:P15"/>
    </sheetView>
  </sheetViews>
  <sheetFormatPr defaultRowHeight="13.9" x14ac:dyDescent="0.4"/>
  <sheetData>
    <row r="1" spans="2:14" ht="27.75" x14ac:dyDescent="0.4">
      <c r="B1" s="4" t="s">
        <v>18</v>
      </c>
      <c r="H1" s="4" t="s">
        <v>0</v>
      </c>
    </row>
    <row r="2" spans="2:14" ht="28.5" x14ac:dyDescent="0.4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</row>
    <row r="3" spans="2:14" ht="14.25" x14ac:dyDescent="0.4">
      <c r="B3" s="3">
        <v>336.33350000000002</v>
      </c>
      <c r="C3" s="3">
        <v>0.52710000000000001</v>
      </c>
      <c r="D3" s="3">
        <v>337.25799999999998</v>
      </c>
      <c r="E3" s="3">
        <v>335.73289999999997</v>
      </c>
      <c r="F3" s="3">
        <v>0.65259999999999996</v>
      </c>
      <c r="H3" s="3">
        <v>284.44240000000002</v>
      </c>
      <c r="I3" s="3">
        <v>2.1311</v>
      </c>
      <c r="J3" s="3">
        <v>288.21660000000003</v>
      </c>
      <c r="K3" s="3">
        <v>281.48579999999998</v>
      </c>
      <c r="L3" s="3">
        <v>2.7810999999999999</v>
      </c>
      <c r="N3">
        <f>(B3-H3)/H3*100</f>
        <v>18.243095966002251</v>
      </c>
    </row>
    <row r="4" spans="2:14" x14ac:dyDescent="0.4">
      <c r="N4" t="e">
        <f>(B4-H4)/H4*100</f>
        <v>#DIV/0!</v>
      </c>
    </row>
    <row r="5" spans="2:14" ht="27.75" x14ac:dyDescent="0.4">
      <c r="B5" s="4" t="s">
        <v>19</v>
      </c>
      <c r="H5" s="4" t="s">
        <v>7</v>
      </c>
      <c r="N5" t="e">
        <f>(B5-H5)/H5*100</f>
        <v>#VALUE!</v>
      </c>
    </row>
    <row r="6" spans="2:14" ht="28.5" x14ac:dyDescent="0.4"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H6" s="2" t="s">
        <v>1</v>
      </c>
      <c r="I6" s="2" t="s">
        <v>2</v>
      </c>
      <c r="J6" s="2" t="s">
        <v>3</v>
      </c>
      <c r="K6" s="2" t="s">
        <v>4</v>
      </c>
      <c r="L6" s="2" t="s">
        <v>5</v>
      </c>
      <c r="N6" t="e">
        <f>(B6-H6)/H6*100</f>
        <v>#VALUE!</v>
      </c>
    </row>
    <row r="7" spans="2:14" ht="14.25" x14ac:dyDescent="0.4">
      <c r="B7" s="3">
        <v>707.2</v>
      </c>
      <c r="C7" s="3">
        <v>7.4539</v>
      </c>
      <c r="D7" s="3">
        <v>718</v>
      </c>
      <c r="E7" s="3">
        <v>693</v>
      </c>
      <c r="F7" s="3">
        <v>9.6667000000000005</v>
      </c>
      <c r="H7" s="3">
        <v>1243</v>
      </c>
      <c r="I7" s="3">
        <v>35.329900000000002</v>
      </c>
      <c r="J7" s="3">
        <v>1294</v>
      </c>
      <c r="K7" s="3">
        <v>1191</v>
      </c>
      <c r="L7" s="3">
        <v>41.444400000000002</v>
      </c>
      <c r="N7">
        <f>(B7-H7)/H7*100</f>
        <v>-43.1053901850362</v>
      </c>
    </row>
  </sheetData>
  <phoneticPr fontId="5" type="noConversion"/>
  <hyperlinks>
    <hyperlink ref="B1" r:id="rId1" location="fitness-score" display="http://localhost:8501/ - fitness-score" xr:uid="{D3CC0D13-35DB-4605-9FE1-AA74CE9D89AA}"/>
    <hyperlink ref="H1" r:id="rId2" location="fitness-score" display="http://localhost:8501/ - fitness-score" xr:uid="{B4E8EF51-D502-4786-952F-B88E512A1A2E}"/>
    <hyperlink ref="B5" r:id="rId3" location="episode-length" display="http://localhost:8501/ - episode-length" xr:uid="{96E71F85-149D-44B6-92FF-34A102D60E29}"/>
    <hyperlink ref="H5" r:id="rId4" location="episode-length" display="http://localhost:8501/ - episode-length" xr:uid="{EC68F3FC-4FB8-439D-BBCF-52BDDD8338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哈 哈</dc:creator>
  <cp:lastModifiedBy>哈 哈</cp:lastModifiedBy>
  <dcterms:created xsi:type="dcterms:W3CDTF">2025-04-17T07:20:16Z</dcterms:created>
  <dcterms:modified xsi:type="dcterms:W3CDTF">2025-04-17T12:55:32Z</dcterms:modified>
</cp:coreProperties>
</file>